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aMoraaMaburi\Desktop\GRC-ICDFA\GRC101\WK3\GRC_Lab_Week3_Edna_Maburi\"/>
    </mc:Choice>
  </mc:AlternateContent>
  <xr:revisionPtr revIDLastSave="0" documentId="13_ncr:1_{AAEC954C-6AF5-47CA-99E7-BBCC32FC511B}" xr6:coauthVersionLast="47" xr6:coauthVersionMax="47" xr10:uidLastSave="{00000000-0000-0000-0000-000000000000}"/>
  <bookViews>
    <workbookView xWindow="-110" yWindow="-110" windowWidth="19420" windowHeight="10420" activeTab="1" xr2:uid="{6B9AFFD7-5CB7-4505-BA85-481CE3EDD3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 a="1"/>
  <c r="I3" i="1" s="1"/>
  <c r="H4" i="1"/>
  <c r="I4" i="1" s="1" a="1"/>
  <c r="I4" i="1" s="1"/>
  <c r="H5" i="1"/>
  <c r="I5" i="1" s="1" a="1"/>
  <c r="I5" i="1" s="1"/>
  <c r="H6" i="1"/>
  <c r="I6" i="1" s="1" a="1"/>
  <c r="I6" i="1" s="1"/>
  <c r="H7" i="1"/>
  <c r="I7" i="1" s="1" a="1"/>
  <c r="I7" i="1" s="1"/>
  <c r="H8" i="1"/>
  <c r="I8" i="1" s="1" a="1"/>
  <c r="I8" i="1" s="1"/>
  <c r="H2" i="1"/>
  <c r="I2" i="1" s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<sst xmlns="http://schemas.openxmlformats.org/spreadsheetml/2006/main" count="162" uniqueCount="131">
  <si>
    <t>Risk Description</t>
  </si>
  <si>
    <t>Asset Affected</t>
  </si>
  <si>
    <t>Threat Category</t>
  </si>
  <si>
    <t>Vulnerability</t>
  </si>
  <si>
    <t>Probability (1-5)</t>
  </si>
  <si>
    <t>Impact (1-5)</t>
  </si>
  <si>
    <t>Risk Score</t>
  </si>
  <si>
    <t>Financial Impact (SLE)</t>
  </si>
  <si>
    <t>Current Controls</t>
  </si>
  <si>
    <t>Treatment Strategy</t>
  </si>
  <si>
    <t>Owner</t>
  </si>
  <si>
    <t>Status</t>
  </si>
  <si>
    <t>R001</t>
  </si>
  <si>
    <t>Ransomware Attack</t>
  </si>
  <si>
    <t>Customer Database</t>
  </si>
  <si>
    <t>Cyber Attack</t>
  </si>
  <si>
    <t>Unpatched Systems</t>
  </si>
  <si>
    <t>Backup, Antivirus</t>
  </si>
  <si>
    <t>Reduce</t>
  </si>
  <si>
    <t>IT Manager</t>
  </si>
  <si>
    <t>Active</t>
  </si>
  <si>
    <t>R002</t>
  </si>
  <si>
    <t>Insider Threat</t>
  </si>
  <si>
    <t>Financial Records</t>
  </si>
  <si>
    <t>Internal</t>
  </si>
  <si>
    <t>Excessive Access</t>
  </si>
  <si>
    <t>Access Controls</t>
  </si>
  <si>
    <t>Security Manager</t>
  </si>
  <si>
    <t>R003</t>
  </si>
  <si>
    <t>Phishing Attack</t>
  </si>
  <si>
    <t>User Credentials</t>
  </si>
  <si>
    <t>Social Engineering</t>
  </si>
  <si>
    <t>User Awareness</t>
  </si>
  <si>
    <t>Email Filter</t>
  </si>
  <si>
    <t>R004</t>
  </si>
  <si>
    <t>System Failure</t>
  </si>
  <si>
    <t>Email System</t>
  </si>
  <si>
    <t>Technical</t>
  </si>
  <si>
    <t>Single Point of Failure</t>
  </si>
  <si>
    <t>Redundancy</t>
  </si>
  <si>
    <t>R005</t>
  </si>
  <si>
    <t>Data Breach</t>
  </si>
  <si>
    <t>Customer Data</t>
  </si>
  <si>
    <t>Weak Encryption</t>
  </si>
  <si>
    <t>Encryption</t>
  </si>
  <si>
    <t>CISO</t>
  </si>
  <si>
    <t>R006</t>
  </si>
  <si>
    <t>Compliance Violation</t>
  </si>
  <si>
    <t>All Systems</t>
  </si>
  <si>
    <t>Regulatory</t>
  </si>
  <si>
    <t>Lack of Controls</t>
  </si>
  <si>
    <t>Policies</t>
  </si>
  <si>
    <t>Compliance Officer</t>
  </si>
  <si>
    <t>R007</t>
  </si>
  <si>
    <t>Third-party Failure</t>
  </si>
  <si>
    <t>Cloud Services</t>
  </si>
  <si>
    <t>Vendor</t>
  </si>
  <si>
    <t>Vendor Risk</t>
  </si>
  <si>
    <t>SLA, Contracts</t>
  </si>
  <si>
    <t>Transfer</t>
  </si>
  <si>
    <t>Procurement</t>
  </si>
  <si>
    <t>Priority Level</t>
  </si>
  <si>
    <t>ARO</t>
  </si>
  <si>
    <t>ALE</t>
  </si>
  <si>
    <t>Once every 5 years</t>
  </si>
  <si>
    <t>Once every 2 years</t>
  </si>
  <si>
    <t xml:space="preserve"> Once per year</t>
  </si>
  <si>
    <t>Once every 4 years</t>
  </si>
  <si>
    <t xml:space="preserve"> Once every 10 years</t>
  </si>
  <si>
    <t xml:space="preserve"> Once every 5 years</t>
  </si>
  <si>
    <t>Treatment Rationale</t>
  </si>
  <si>
    <t xml:space="preserve">The reduction strategy is appropriate because backups and antivirus controls directly mitigate both the impact and likelihood of a ransomware attack. </t>
  </si>
  <si>
    <t>Reducing this risk is appropriate as access controls limit excessive privileges, which directly addresses the identified vulnerability. Insider threats are recurring and require continuous monitoring and mitigation.</t>
  </si>
  <si>
    <t>The reduction strategy is suitable since email filtering lowers the likelihood of phishing attempts reaching users. However, phishing remains a high-frequency threat and requires ongoing mitigation efforts.</t>
  </si>
  <si>
    <t>Encryption reduces the impact of a data breach by protecting sensitive customer data. Due to regulatory and reputational consequences, transferring or accepting this risk would be inappropriate.</t>
  </si>
  <si>
    <t>Policies and governance controls reduce the likelihood of regulatory violations. Continuous improvement of compliance controls is necessary due to evolving regulatory requirements.</t>
  </si>
  <si>
    <t>Redundancy directly mitigates the single point of failure vulnerability by reducing system downtime and service disruption. Risk avoidance is impractical due to the critical nature of the email system.</t>
  </si>
  <si>
    <t>Transferring the risk through SLAs and contracts is appropriate, as third-party operational failures are partially outside the organization’s direct control. Legal agreements help shift financial and operational responsibility to vendors.</t>
  </si>
  <si>
    <t>Proposed Alternative Strategy</t>
  </si>
  <si>
    <t>Risk ID</t>
  </si>
  <si>
    <r>
      <t xml:space="preserve">Enhanced Reduce  via a Defense-in-Depth Mode. </t>
    </r>
    <r>
      <rPr>
        <sz val="12"/>
        <color rgb="FF0F1115"/>
        <rFont val="Aptos Narrow"/>
        <family val="2"/>
        <scheme val="minor"/>
      </rPr>
      <t>This is because the current strategy of Reduce paired with only Encryption is inadequate for a risk rated High with a $10,000,000 financial impact.Encryption solely protects data at rest. A modern data breach can occur through multiple vector such as; compromised credentials, application vulnerabilities and insider misuse that encryption does not address.</t>
    </r>
  </si>
  <si>
    <t>Control ID/Name</t>
  </si>
  <si>
    <t>Control Description</t>
  </si>
  <si>
    <t>Current Implementation Status</t>
  </si>
  <si>
    <t>Gap Description</t>
  </si>
  <si>
    <t>Recommended Remediation</t>
  </si>
  <si>
    <t>Priority</t>
  </si>
  <si>
    <t>GV.OC-01: Cybersecurity Risk Management Strategy</t>
  </si>
  <si>
    <t>Establish and communicate cybersecurity risk management strategy</t>
  </si>
  <si>
    <t>Not Implemented</t>
  </si>
  <si>
    <t>No formal cybersecurity strategy exists; security decisions are reactive</t>
  </si>
  <si>
    <t>Develop 1-page cybersecurity strategy aligned with business goals; present to leadership for approval</t>
  </si>
  <si>
    <t>High</t>
  </si>
  <si>
    <t>ID.AM-01: Inventory of Hardware Assets</t>
  </si>
  <si>
    <t>Identify and document hardware assets</t>
  </si>
  <si>
    <t>Partially Implemented</t>
  </si>
  <si>
    <t>Only primary servers and workstations documented; missing mobile devices and cloud instances</t>
  </si>
  <si>
    <t>Implement automated asset discovery tool; maintain central asset register</t>
  </si>
  <si>
    <t>Medium</t>
  </si>
  <si>
    <t>ID.AM-03: Inventory of System Components</t>
  </si>
  <si>
    <t>Document software and applications</t>
  </si>
  <si>
    <t>Core applications documented but dependencies and libraries not tracked</t>
  </si>
  <si>
    <t>Implement software bill of materials (SBOM) for critical apps; use free scanning tools</t>
  </si>
  <si>
    <t>PR.AC-01: Identity Management</t>
  </si>
  <si>
    <t>Manage identities and credentials</t>
  </si>
  <si>
    <t>Basic password policy exists but no centralized identity management</t>
  </si>
  <si>
    <t>Implement SSO solution; enforce MFA for all cloud services</t>
  </si>
  <si>
    <t>PR.DS-01: Data Protection at Rest</t>
  </si>
  <si>
    <t>Protect data at rest</t>
  </si>
  <si>
    <t>Database encryption enabled but not all backup media encrypted</t>
  </si>
  <si>
    <t>Implement full-disk encryption on all devices; encrypt all backup media</t>
  </si>
  <si>
    <t>PR.IP-09: Response Plans</t>
  </si>
  <si>
    <t>Develop and implement response plans</t>
  </si>
  <si>
    <t>No formal incident response plan exists</t>
  </si>
  <si>
    <t>Develop incident response playbook focusing on financial data breaches; conduct tabletop exercise</t>
  </si>
  <si>
    <t>PR.AT-01: Security Awareness</t>
  </si>
  <si>
    <t>Conduct security awareness training</t>
  </si>
  <si>
    <t>Ad-hoc training sessions but no structured program</t>
  </si>
  <si>
    <t>Implement quarterly security training; create phishing simulation program</t>
  </si>
  <si>
    <t>DE.CM-01: Network Monitoring</t>
  </si>
  <si>
    <t>Monitor network for anomalies</t>
  </si>
  <si>
    <t>No network monitoring beyond basic firewall logs</t>
  </si>
  <si>
    <t>Implement free network monitoring solution; establish daily log review process</t>
  </si>
  <si>
    <t>RS.RP-01: Response Plan Execution</t>
  </si>
  <si>
    <t>Execute response plan during incidents</t>
  </si>
  <si>
    <t>No defined process for incident response execution</t>
  </si>
  <si>
    <t>Designate incident response team; develop communication templates</t>
  </si>
  <si>
    <t>RC.RP-01: Recovery Planning</t>
  </si>
  <si>
    <t>Develop and implement recovery plan</t>
  </si>
  <si>
    <t>No disaster recovery or business continuity plans</t>
  </si>
  <si>
    <t>Develop recovery plan focusing on mobile app availability; test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</si>
</sst>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2328"/>
      <name val="Aptos Narrow"/>
      <family val="2"/>
      <scheme val="minor"/>
    </font>
    <font>
      <sz val="12"/>
      <color rgb="FF1F2328"/>
      <name val="Aptos Narrow"/>
      <family val="2"/>
      <scheme val="minor"/>
    </font>
    <font>
      <b/>
      <sz val="12"/>
      <color rgb="FF0F1115"/>
      <name val="Aptos Narrow"/>
      <family val="2"/>
      <scheme val="minor"/>
    </font>
    <font>
      <sz val="12"/>
      <color rgb="FF0F111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164" fontId="1" fillId="0" borderId="0" xfId="0" applyNumberFormat="1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57FC-E6B8-48CC-855A-E05F667D79B8}">
  <dimension ref="A1:S20"/>
  <sheetViews>
    <sheetView topLeftCell="C6" zoomScale="90" zoomScaleNormal="90" workbookViewId="0">
      <selection activeCell="K6" sqref="K6"/>
    </sheetView>
  </sheetViews>
  <sheetFormatPr defaultRowHeight="16" x14ac:dyDescent="0.4"/>
  <cols>
    <col min="1" max="1" width="8.7265625" style="1"/>
    <col min="2" max="2" width="17.08984375" style="1" bestFit="1" customWidth="1"/>
    <col min="3" max="3" width="17.1796875" style="1" bestFit="1" customWidth="1"/>
    <col min="4" max="4" width="11.1796875" style="1" bestFit="1" customWidth="1"/>
    <col min="5" max="5" width="17.08984375" style="1" bestFit="1" customWidth="1"/>
    <col min="6" max="6" width="10" style="1" customWidth="1"/>
    <col min="7" max="7" width="8.453125" style="1" customWidth="1"/>
    <col min="8" max="8" width="7.6328125" style="1" customWidth="1"/>
    <col min="9" max="9" width="9.08984375" style="1" customWidth="1"/>
    <col min="10" max="10" width="15.453125" style="5" bestFit="1" customWidth="1"/>
    <col min="11" max="11" width="14.81640625" style="1" bestFit="1" customWidth="1"/>
    <col min="12" max="12" width="17.453125" style="1" bestFit="1" customWidth="1"/>
    <col min="13" max="13" width="14.81640625" style="1" bestFit="1" customWidth="1"/>
    <col min="14" max="14" width="9.6328125" style="1" customWidth="1"/>
    <col min="15" max="15" width="8.7265625" style="1"/>
    <col min="16" max="16" width="17.453125" style="1" bestFit="1" customWidth="1"/>
    <col min="17" max="17" width="15.6328125" style="5" bestFit="1" customWidth="1"/>
    <col min="18" max="18" width="42.7265625" style="1" customWidth="1"/>
    <col min="19" max="19" width="38.453125" style="1" customWidth="1"/>
    <col min="20" max="16384" width="8.7265625" style="1"/>
  </cols>
  <sheetData>
    <row r="1" spans="1:19" s="2" customFormat="1" ht="39.5" customHeight="1" x14ac:dyDescent="0.4">
      <c r="A1" s="7" t="s">
        <v>79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61</v>
      </c>
      <c r="J1" s="9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19" t="s">
        <v>62</v>
      </c>
      <c r="P1" s="19"/>
      <c r="Q1" s="10" t="s">
        <v>63</v>
      </c>
      <c r="R1" s="6" t="s">
        <v>70</v>
      </c>
      <c r="S1" s="6" t="s">
        <v>78</v>
      </c>
    </row>
    <row r="2" spans="1:19" ht="70.5" customHeight="1" x14ac:dyDescent="0.4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</v>
      </c>
      <c r="G2" s="3">
        <v>4</v>
      </c>
      <c r="H2" s="11">
        <f>F2*G2</f>
        <v>12</v>
      </c>
      <c r="I2" s="11" t="str" cm="1">
        <f t="array" ref="I2">_xlfn.IFS(H2&gt;=12,"Critical",H2&gt;=8,"High",H2&gt;=4,"Medium",H2&gt;=1,"Low",TRUE,"")</f>
        <v>Critical</v>
      </c>
      <c r="J2" s="12">
        <v>5000000</v>
      </c>
      <c r="K2" s="3" t="s">
        <v>17</v>
      </c>
      <c r="L2" s="3" t="s">
        <v>18</v>
      </c>
      <c r="M2" s="3" t="s">
        <v>19</v>
      </c>
      <c r="N2" s="3" t="s">
        <v>20</v>
      </c>
      <c r="O2" s="13">
        <v>0.2</v>
      </c>
      <c r="P2" s="14" t="s">
        <v>64</v>
      </c>
      <c r="Q2" s="4">
        <v>1000000</v>
      </c>
      <c r="R2" s="15" t="s">
        <v>71</v>
      </c>
      <c r="S2" s="3"/>
    </row>
    <row r="3" spans="1:19" ht="76.5" customHeight="1" x14ac:dyDescent="0.4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>
        <v>2</v>
      </c>
      <c r="G3" s="3">
        <v>4</v>
      </c>
      <c r="H3" s="11">
        <f t="shared" ref="H3:H8" si="0">F3*G3</f>
        <v>8</v>
      </c>
      <c r="I3" s="11" t="str" cm="1">
        <f t="array" ref="I3">_xlfn.IFS(H3&gt;=12,"Critical",H3&gt;=8,"High",H3&gt;=4,"Medium",H3&gt;=1,"Low",TRUE,"")</f>
        <v>High</v>
      </c>
      <c r="J3" s="12">
        <v>2000000</v>
      </c>
      <c r="K3" s="3" t="s">
        <v>26</v>
      </c>
      <c r="L3" s="3" t="s">
        <v>18</v>
      </c>
      <c r="M3" s="3" t="s">
        <v>27</v>
      </c>
      <c r="N3" s="3" t="s">
        <v>20</v>
      </c>
      <c r="O3" s="13">
        <v>0.5</v>
      </c>
      <c r="P3" s="14" t="s">
        <v>65</v>
      </c>
      <c r="Q3" s="4">
        <v>1000000</v>
      </c>
      <c r="R3" s="16" t="s">
        <v>72</v>
      </c>
      <c r="S3" s="3"/>
    </row>
    <row r="4" spans="1:19" ht="80" x14ac:dyDescent="0.4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>
        <v>4</v>
      </c>
      <c r="G4" s="3">
        <v>2</v>
      </c>
      <c r="H4" s="11">
        <f t="shared" si="0"/>
        <v>8</v>
      </c>
      <c r="I4" s="11" t="str" cm="1">
        <f t="array" ref="I4">_xlfn.IFS(H4&gt;=12,"Critical",H4&gt;=8,"High",H4&gt;=4,"Medium",H4&gt;=1,"Low",TRUE,"")</f>
        <v>High</v>
      </c>
      <c r="J4" s="12">
        <v>500000</v>
      </c>
      <c r="K4" s="3" t="s">
        <v>33</v>
      </c>
      <c r="L4" s="3" t="s">
        <v>18</v>
      </c>
      <c r="M4" s="3" t="s">
        <v>27</v>
      </c>
      <c r="N4" s="3" t="s">
        <v>20</v>
      </c>
      <c r="O4" s="13">
        <v>1</v>
      </c>
      <c r="P4" s="14" t="s">
        <v>66</v>
      </c>
      <c r="Q4" s="4">
        <v>500000</v>
      </c>
      <c r="R4" s="3" t="s">
        <v>73</v>
      </c>
      <c r="S4" s="3"/>
    </row>
    <row r="5" spans="1:19" ht="80" x14ac:dyDescent="0.4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>
        <v>3</v>
      </c>
      <c r="G5" s="3">
        <v>3</v>
      </c>
      <c r="H5" s="11">
        <f t="shared" si="0"/>
        <v>9</v>
      </c>
      <c r="I5" s="11" t="str" cm="1">
        <f t="array" ref="I5">_xlfn.IFS(H5&gt;=12,"Critical",H5&gt;=8,"High",H5&gt;=4,"Medium",H5&gt;=1,"Low",TRUE,"")</f>
        <v>High</v>
      </c>
      <c r="J5" s="12">
        <v>1000000</v>
      </c>
      <c r="K5" s="3" t="s">
        <v>39</v>
      </c>
      <c r="L5" s="3" t="s">
        <v>18</v>
      </c>
      <c r="M5" s="3" t="s">
        <v>19</v>
      </c>
      <c r="N5" s="3" t="s">
        <v>20</v>
      </c>
      <c r="O5" s="13">
        <v>0.25</v>
      </c>
      <c r="P5" s="14" t="s">
        <v>67</v>
      </c>
      <c r="Q5" s="4">
        <v>250000</v>
      </c>
      <c r="R5" s="3" t="s">
        <v>76</v>
      </c>
      <c r="S5" s="3"/>
    </row>
    <row r="6" spans="1:19" ht="176" x14ac:dyDescent="0.4">
      <c r="A6" s="3" t="s">
        <v>40</v>
      </c>
      <c r="B6" s="3" t="s">
        <v>41</v>
      </c>
      <c r="C6" s="3" t="s">
        <v>42</v>
      </c>
      <c r="D6" s="3" t="s">
        <v>15</v>
      </c>
      <c r="E6" s="3" t="s">
        <v>43</v>
      </c>
      <c r="F6" s="3">
        <v>2</v>
      </c>
      <c r="G6" s="3">
        <v>5</v>
      </c>
      <c r="H6" s="11">
        <f t="shared" si="0"/>
        <v>10</v>
      </c>
      <c r="I6" s="11" t="str" cm="1">
        <f t="array" ref="I6">_xlfn.IFS(H6&gt;=12,"Critical",H6&gt;=8,"High",H6&gt;=4,"Medium",H6&gt;=1,"Low",TRUE,"")</f>
        <v>High</v>
      </c>
      <c r="J6" s="12">
        <v>10000000</v>
      </c>
      <c r="K6" s="3" t="s">
        <v>44</v>
      </c>
      <c r="L6" s="3" t="s">
        <v>18</v>
      </c>
      <c r="M6" s="3" t="s">
        <v>45</v>
      </c>
      <c r="N6" s="3" t="s">
        <v>20</v>
      </c>
      <c r="O6" s="13">
        <v>0.1</v>
      </c>
      <c r="P6" s="14" t="s">
        <v>68</v>
      </c>
      <c r="Q6" s="4">
        <v>1000000</v>
      </c>
      <c r="R6" s="17" t="s">
        <v>74</v>
      </c>
      <c r="S6" s="18" t="s">
        <v>80</v>
      </c>
    </row>
    <row r="7" spans="1:19" ht="80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>
        <v>2</v>
      </c>
      <c r="G7" s="3">
        <v>3</v>
      </c>
      <c r="H7" s="11">
        <f t="shared" si="0"/>
        <v>6</v>
      </c>
      <c r="I7" s="11" t="str" cm="1">
        <f t="array" ref="I7">_xlfn.IFS(H7&gt;=12,"Critical",H7&gt;=8,"High",H7&gt;=4,"Medium",H7&gt;=1,"Low",TRUE,"")</f>
        <v>Medium</v>
      </c>
      <c r="J7" s="12">
        <v>500000</v>
      </c>
      <c r="K7" s="3" t="s">
        <v>51</v>
      </c>
      <c r="L7" s="3" t="s">
        <v>18</v>
      </c>
      <c r="M7" s="3" t="s">
        <v>52</v>
      </c>
      <c r="N7" s="3" t="s">
        <v>20</v>
      </c>
      <c r="O7" s="13">
        <v>0.5</v>
      </c>
      <c r="P7" s="14" t="s">
        <v>65</v>
      </c>
      <c r="Q7" s="4">
        <v>250000</v>
      </c>
      <c r="R7" s="3" t="s">
        <v>75</v>
      </c>
      <c r="S7" s="3"/>
    </row>
    <row r="8" spans="1:19" ht="96" x14ac:dyDescent="0.4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>
        <v>2</v>
      </c>
      <c r="G8" s="3">
        <v>3</v>
      </c>
      <c r="H8" s="11">
        <f t="shared" si="0"/>
        <v>6</v>
      </c>
      <c r="I8" s="11" t="str" cm="1">
        <f t="array" ref="I8">_xlfn.IFS(H8&gt;=12,"Critical",H8&gt;=8,"High",H8&gt;=4,"Medium",H8&gt;=1,"Low",TRUE,"")</f>
        <v>Medium</v>
      </c>
      <c r="J8" s="12">
        <v>1000000</v>
      </c>
      <c r="K8" s="3" t="s">
        <v>58</v>
      </c>
      <c r="L8" s="3" t="s">
        <v>59</v>
      </c>
      <c r="M8" s="3" t="s">
        <v>60</v>
      </c>
      <c r="N8" s="3" t="s">
        <v>20</v>
      </c>
      <c r="O8" s="13">
        <v>0.2</v>
      </c>
      <c r="P8" s="14" t="s">
        <v>69</v>
      </c>
      <c r="Q8" s="4">
        <v>200000</v>
      </c>
      <c r="R8" s="3" t="s">
        <v>77</v>
      </c>
      <c r="S8" s="3"/>
    </row>
    <row r="13" spans="1:19" x14ac:dyDescent="0.4">
      <c r="J13" s="1"/>
      <c r="K13" s="5"/>
      <c r="Q13" s="1"/>
    </row>
    <row r="14" spans="1:19" x14ac:dyDescent="0.4">
      <c r="J14" s="1"/>
      <c r="K14" s="5"/>
      <c r="Q14" s="1"/>
    </row>
    <row r="15" spans="1:19" x14ac:dyDescent="0.4">
      <c r="J15" s="1"/>
      <c r="K15" s="5"/>
      <c r="Q15" s="1"/>
    </row>
    <row r="16" spans="1:19" x14ac:dyDescent="0.4">
      <c r="J16" s="1"/>
      <c r="K16" s="5"/>
      <c r="Q16" s="1"/>
    </row>
    <row r="17" spans="10:17" x14ac:dyDescent="0.4">
      <c r="J17" s="1"/>
      <c r="K17" s="5"/>
      <c r="Q17" s="1"/>
    </row>
    <row r="18" spans="10:17" x14ac:dyDescent="0.4">
      <c r="J18" s="1"/>
      <c r="K18" s="5"/>
      <c r="Q18" s="1"/>
    </row>
    <row r="19" spans="10:17" x14ac:dyDescent="0.4">
      <c r="J19" s="1"/>
      <c r="K19" s="5"/>
      <c r="Q19" s="1"/>
    </row>
    <row r="20" spans="10:17" x14ac:dyDescent="0.4">
      <c r="J20" s="1"/>
      <c r="K20" s="5"/>
      <c r="Q20" s="1"/>
    </row>
  </sheetData>
  <mergeCells count="1"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861F-2078-498B-874C-332BE24BE6FB}">
  <dimension ref="A1:F11"/>
  <sheetViews>
    <sheetView tabSelected="1" workbookViewId="0">
      <pane ySplit="1" topLeftCell="A4" activePane="bottomLeft" state="frozen"/>
      <selection pane="bottomLeft" activeCell="B4" sqref="B4"/>
    </sheetView>
  </sheetViews>
  <sheetFormatPr defaultRowHeight="14.5" x14ac:dyDescent="0.35"/>
  <cols>
    <col min="1" max="1" width="23" customWidth="1"/>
    <col min="2" max="2" width="34.26953125" customWidth="1"/>
    <col min="3" max="3" width="14.54296875" customWidth="1"/>
    <col min="4" max="4" width="30.90625" customWidth="1"/>
    <col min="5" max="5" width="23.26953125" customWidth="1"/>
    <col min="6" max="6" width="11.6328125" customWidth="1"/>
  </cols>
  <sheetData>
    <row r="1" spans="1:6" ht="43.5" x14ac:dyDescent="0.35">
      <c r="A1" s="20" t="s">
        <v>81</v>
      </c>
      <c r="B1" s="20" t="s">
        <v>82</v>
      </c>
      <c r="C1" s="20" t="s">
        <v>83</v>
      </c>
      <c r="D1" s="20" t="s">
        <v>84</v>
      </c>
      <c r="E1" s="20" t="s">
        <v>85</v>
      </c>
      <c r="F1" s="20" t="s">
        <v>86</v>
      </c>
    </row>
    <row r="2" spans="1:6" ht="101.5" x14ac:dyDescent="0.35">
      <c r="A2" s="20" t="s">
        <v>87</v>
      </c>
      <c r="B2" s="20" t="s">
        <v>88</v>
      </c>
      <c r="C2" s="20" t="s">
        <v>89</v>
      </c>
      <c r="D2" s="20" t="s">
        <v>90</v>
      </c>
      <c r="E2" s="20" t="s">
        <v>91</v>
      </c>
      <c r="F2" s="20" t="s">
        <v>92</v>
      </c>
    </row>
    <row r="3" spans="1:6" ht="72.5" x14ac:dyDescent="0.35">
      <c r="A3" s="20" t="s">
        <v>93</v>
      </c>
      <c r="B3" s="20" t="s">
        <v>94</v>
      </c>
      <c r="C3" s="20" t="s">
        <v>95</v>
      </c>
      <c r="D3" s="20" t="s">
        <v>96</v>
      </c>
      <c r="E3" s="20" t="s">
        <v>97</v>
      </c>
      <c r="F3" s="20" t="s">
        <v>98</v>
      </c>
    </row>
    <row r="4" spans="1:6" ht="87" x14ac:dyDescent="0.35">
      <c r="A4" s="20" t="s">
        <v>99</v>
      </c>
      <c r="B4" s="20" t="s">
        <v>100</v>
      </c>
      <c r="C4" s="20" t="s">
        <v>95</v>
      </c>
      <c r="D4" s="20" t="s">
        <v>101</v>
      </c>
      <c r="E4" s="20" t="s">
        <v>102</v>
      </c>
      <c r="F4" s="20" t="s">
        <v>98</v>
      </c>
    </row>
    <row r="5" spans="1:6" ht="58" x14ac:dyDescent="0.35">
      <c r="A5" s="20" t="s">
        <v>103</v>
      </c>
      <c r="B5" s="20" t="s">
        <v>104</v>
      </c>
      <c r="C5" s="20" t="s">
        <v>95</v>
      </c>
      <c r="D5" s="20" t="s">
        <v>105</v>
      </c>
      <c r="E5" s="20" t="s">
        <v>106</v>
      </c>
      <c r="F5" s="20" t="s">
        <v>92</v>
      </c>
    </row>
    <row r="6" spans="1:6" ht="72.5" x14ac:dyDescent="0.35">
      <c r="A6" s="20" t="s">
        <v>107</v>
      </c>
      <c r="B6" s="20" t="s">
        <v>108</v>
      </c>
      <c r="C6" s="20" t="s">
        <v>95</v>
      </c>
      <c r="D6" s="20" t="s">
        <v>109</v>
      </c>
      <c r="E6" s="20" t="s">
        <v>110</v>
      </c>
      <c r="F6" s="20" t="s">
        <v>92</v>
      </c>
    </row>
    <row r="7" spans="1:6" ht="87" x14ac:dyDescent="0.35">
      <c r="A7" s="20" t="s">
        <v>111</v>
      </c>
      <c r="B7" s="20" t="s">
        <v>112</v>
      </c>
      <c r="C7" s="20" t="s">
        <v>89</v>
      </c>
      <c r="D7" s="20" t="s">
        <v>113</v>
      </c>
      <c r="E7" s="20" t="s">
        <v>114</v>
      </c>
      <c r="F7" s="20" t="s">
        <v>92</v>
      </c>
    </row>
    <row r="8" spans="1:6" ht="87" x14ac:dyDescent="0.35">
      <c r="A8" s="20" t="s">
        <v>115</v>
      </c>
      <c r="B8" s="20" t="s">
        <v>116</v>
      </c>
      <c r="C8" s="20" t="s">
        <v>95</v>
      </c>
      <c r="D8" s="20" t="s">
        <v>117</v>
      </c>
      <c r="E8" s="20" t="s">
        <v>118</v>
      </c>
      <c r="F8" s="20" t="s">
        <v>98</v>
      </c>
    </row>
    <row r="9" spans="1:6" ht="87" x14ac:dyDescent="0.35">
      <c r="A9" s="20" t="s">
        <v>119</v>
      </c>
      <c r="B9" s="20" t="s">
        <v>120</v>
      </c>
      <c r="C9" s="20" t="s">
        <v>89</v>
      </c>
      <c r="D9" s="20" t="s">
        <v>121</v>
      </c>
      <c r="E9" s="20" t="s">
        <v>122</v>
      </c>
      <c r="F9" s="20" t="s">
        <v>92</v>
      </c>
    </row>
    <row r="10" spans="1:6" ht="72.5" x14ac:dyDescent="0.35">
      <c r="A10" s="20" t="s">
        <v>123</v>
      </c>
      <c r="B10" s="20" t="s">
        <v>124</v>
      </c>
      <c r="C10" s="20" t="s">
        <v>89</v>
      </c>
      <c r="D10" s="20" t="s">
        <v>125</v>
      </c>
      <c r="E10" s="20" t="s">
        <v>126</v>
      </c>
      <c r="F10" s="20" t="s">
        <v>98</v>
      </c>
    </row>
    <row r="11" spans="1:6" ht="72.5" x14ac:dyDescent="0.35">
      <c r="A11" s="20" t="s">
        <v>127</v>
      </c>
      <c r="B11" s="20" t="s">
        <v>128</v>
      </c>
      <c r="C11" s="20" t="s">
        <v>89</v>
      </c>
      <c r="D11" s="20" t="s">
        <v>129</v>
      </c>
      <c r="E11" s="20" t="s">
        <v>130</v>
      </c>
      <c r="F11" s="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Moraa Maburi</dc:creator>
  <cp:lastModifiedBy>Edna Moraa Maburi</cp:lastModifiedBy>
  <dcterms:created xsi:type="dcterms:W3CDTF">2026-01-29T14:59:23Z</dcterms:created>
  <dcterms:modified xsi:type="dcterms:W3CDTF">2026-02-09T17:28:39Z</dcterms:modified>
</cp:coreProperties>
</file>